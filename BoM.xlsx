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69CFBF64-D7CF-475F-BA90-AEF2BE2F2D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G41" i="1"/>
</calcChain>
</file>

<file path=xl/sharedStrings.xml><?xml version="1.0" encoding="utf-8"?>
<sst xmlns="http://schemas.openxmlformats.org/spreadsheetml/2006/main" count="144" uniqueCount="109">
  <si>
    <t>Vendor</t>
  </si>
  <si>
    <t>Name (link)</t>
  </si>
  <si>
    <t>Description</t>
  </si>
  <si>
    <t>Price (Digikey With VAT)</t>
  </si>
  <si>
    <t>Price (Local)</t>
  </si>
  <si>
    <t>Price (LCSC)</t>
  </si>
  <si>
    <t>Price(Other)</t>
  </si>
  <si>
    <t>Notes</t>
  </si>
  <si>
    <t>digikey</t>
  </si>
  <si>
    <t>ELG-150-54B</t>
  </si>
  <si>
    <t>150W 54V led driver</t>
  </si>
  <si>
    <t>x 37.94</t>
  </si>
  <si>
    <t>x</t>
  </si>
  <si>
    <t>BACKORDER NEEDS BUYING, LEAD TIME CURRENTLY 13/06/2025</t>
  </si>
  <si>
    <t>XLG-150-H-AB</t>
  </si>
  <si>
    <t>150W 27-56V led driver</t>
  </si>
  <si>
    <t>LCSC</t>
  </si>
  <si>
    <t>IRM-10-5</t>
  </si>
  <si>
    <t>10W 5V psu</t>
  </si>
  <si>
    <t>x 6.38</t>
  </si>
  <si>
    <t>$4.32</t>
  </si>
  <si>
    <t>SMU02L-12</t>
  </si>
  <si>
    <t>2W 5v to 12v converter</t>
  </si>
  <si>
    <t>x 3.54</t>
  </si>
  <si>
    <t>x?</t>
  </si>
  <si>
    <t>SPU03L-12</t>
  </si>
  <si>
    <t>3W 5v to 12v conerter</t>
  </si>
  <si>
    <t>L2C5-40801825G3200</t>
  </si>
  <si>
    <t>51.7V ~116W LED</t>
  </si>
  <si>
    <t>Schurter OGN Fuse holder</t>
  </si>
  <si>
    <t>5x20mm fuse holder</t>
  </si>
  <si>
    <t>x 1.04</t>
  </si>
  <si>
    <t>K104K15X7RF5TL2</t>
  </si>
  <si>
    <t>0.1uF tht capacitor</t>
  </si>
  <si>
    <t>"885012210006"</t>
  </si>
  <si>
    <t>10nF smt capacitor</t>
  </si>
  <si>
    <t>PTA6043-2010CIB502</t>
  </si>
  <si>
    <t>5K slide potentiometer</t>
  </si>
  <si>
    <t>240-080</t>
  </si>
  <si>
    <t>1m K-type thermocouple bare wires</t>
  </si>
  <si>
    <t>x 8.86</t>
  </si>
  <si>
    <t>ETA-G-K-24-200cm</t>
  </si>
  <si>
    <t xml:space="preserve">2m K-type thermocouple bare wires </t>
  </si>
  <si>
    <t>$4.56</t>
  </si>
  <si>
    <t>MAX31855KASA+T</t>
  </si>
  <si>
    <t>MAX31855 thermocouple amplifier chip</t>
  </si>
  <si>
    <t>x 8.28</t>
  </si>
  <si>
    <t>$2.33</t>
  </si>
  <si>
    <t>Wuerth elektronik screw pin terminal</t>
  </si>
  <si>
    <t>Screwy terminal block for 2 pins for thermocouple</t>
  </si>
  <si>
    <t>xiao rp2040</t>
  </si>
  <si>
    <t>xiao rp2040 microcontroller</t>
  </si>
  <si>
    <t>PC817X2NSZ9F</t>
  </si>
  <si>
    <t>pc817 optocoupler/optoisolator</t>
  </si>
  <si>
    <t>x $0.38=£0.28</t>
  </si>
  <si>
    <t>(LCSC minimum order quantity is 5, for just one it would be $0.07 but alas)</t>
  </si>
  <si>
    <t>40 ohm resistor for led</t>
  </si>
  <si>
    <t>(I have already)</t>
  </si>
  <si>
    <t>(estimate price)</t>
  </si>
  <si>
    <t>Red led</t>
  </si>
  <si>
    <t>~5p if you buy?</t>
  </si>
  <si>
    <t>80-100 ohm resistor for optocoupler</t>
  </si>
  <si>
    <t>(will get locally)</t>
  </si>
  <si>
    <t>3x cherry style keyboard switches and keycaps</t>
  </si>
  <si>
    <t>2.5A fuse - possibly 5x20mm</t>
  </si>
  <si>
    <t>SG90 servo motor</t>
  </si>
  <si>
    <t>DAC-13F</t>
  </si>
  <si>
    <t>iec panel mount input with fuse integrated</t>
  </si>
  <si>
    <t>x 1.45</t>
  </si>
  <si>
    <t>$1.46</t>
  </si>
  <si>
    <t>LCSC one has a switch too!</t>
  </si>
  <si>
    <t>xiao pin headers</t>
  </si>
  <si>
    <t>7 pin headers for xiao rp2040, as well as for the servo</t>
  </si>
  <si>
    <t>(might get locally)</t>
  </si>
  <si>
    <t>molex 47053-1000</t>
  </si>
  <si>
    <t>4 pin fan header</t>
  </si>
  <si>
    <t>ATS-HP-F9L200S70W-014</t>
  </si>
  <si>
    <t>200mm long 10.5mm wide ~60W heat pipe - 3 OF THEM</t>
  </si>
  <si>
    <t>AMAZON</t>
  </si>
  <si>
    <t>1kg Creality Black PETG filament</t>
  </si>
  <si>
    <t>1kg black PETG creality filament, i need it for the better heat resistance</t>
  </si>
  <si>
    <t>x 12.99</t>
  </si>
  <si>
    <t>amazon</t>
  </si>
  <si>
    <t>1kg sunlu black petg filament</t>
  </si>
  <si>
    <t>1kg black PETG sunlu filament, for more heat resistance</t>
  </si>
  <si>
    <t>(i'm splitting the cost with a friend so i only get 1kg and pay £8.75 for it, normally it would be about £12)</t>
  </si>
  <si>
    <t>fb marketplace</t>
  </si>
  <si>
    <t>Cooler master hyper 212 evo</t>
  </si>
  <si>
    <t>heatsink with fan</t>
  </si>
  <si>
    <t>10g Silicone EC360 Thermal Glue</t>
  </si>
  <si>
    <t>Thermally conductive adhesive for attaching heat pipes</t>
  </si>
  <si>
    <t>50x85mm 3mm mdf</t>
  </si>
  <si>
    <t>free</t>
  </si>
  <si>
    <t>about 40 m4 bolts and nuts (12mm long mostly but some might be longer)</t>
  </si>
  <si>
    <t>2 m10 bolts and nuts</t>
  </si>
  <si>
    <t>about 400x200mm of thick plywood</t>
  </si>
  <si>
    <t>JLCPCB</t>
  </si>
  <si>
    <t>The pcb!!!</t>
  </si>
  <si>
    <t>$12.45</t>
  </si>
  <si>
    <t>Just parts cost</t>
  </si>
  <si>
    <t>shipping stuff</t>
  </si>
  <si>
    <t>$10.40</t>
  </si>
  <si>
    <t>Shipping cost</t>
  </si>
  <si>
    <t>Total</t>
  </si>
  <si>
    <t>$22.85=£16.73</t>
  </si>
  <si>
    <t>cheaper!</t>
  </si>
  <si>
    <t>Total total</t>
  </si>
  <si>
    <t>(manual value input)</t>
  </si>
  <si>
    <t>$209.51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</si>
</sst>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trike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8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0" fontId="2" fillId="0" borderId="0" xfId="1" applyFont="1"/>
    <xf numFmtId="8" fontId="1" fillId="0" borderId="0" xfId="1" applyNumberFormat="1"/>
    <xf numFmtId="0" fontId="3" fillId="0" borderId="0" xfId="0" applyFont="1"/>
    <xf numFmtId="0" fontId="4" fillId="0" borderId="0" xfId="1" applyFont="1"/>
    <xf numFmtId="8" fontId="3" fillId="0" borderId="0" xfId="0" applyNumberFormat="1" applyFont="1"/>
    <xf numFmtId="0" fontId="5" fillId="0" borderId="0" xfId="0" applyFont="1"/>
    <xf numFmtId="8" fontId="1" fillId="0" borderId="0" xfId="1" applyNumberFormat="1" applyAlignment="1">
      <alignment wrapText="1"/>
    </xf>
    <xf numFmtId="0" fontId="6" fillId="0" borderId="0" xfId="1" applyFont="1"/>
    <xf numFmtId="0" fontId="3" fillId="0" borderId="0" xfId="0" applyFont="1" applyAlignment="1">
      <alignment wrapText="1"/>
    </xf>
    <xf numFmtId="0" fontId="7" fillId="0" borderId="0" xfId="0" applyFont="1"/>
    <xf numFmtId="8" fontId="4" fillId="0" borderId="0" xfId="1" applyNumberFormat="1" applyFont="1" applyAlignment="1">
      <alignment wrapText="1"/>
    </xf>
    <xf numFmtId="8" fontId="7" fillId="0" borderId="0" xfId="1" applyNumberFormat="1" applyFont="1" applyAlignment="1">
      <alignment wrapText="1"/>
    </xf>
    <xf numFmtId="0" fontId="7" fillId="0" borderId="0" xfId="0" applyFont="1" applyAlignment="1">
      <alignment wrapText="1"/>
    </xf>
    <xf numFmtId="6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60FCB-B86A-4E24-801B-BD9EE35C2B87}" name="Table1" displayName="Table1" ref="A1:H43" totalsRowShown="0">
  <autoFilter ref="A1:H43" xr:uid="{4CF60FCB-B86A-4E24-801B-BD9EE35C2B87}"/>
  <tableColumns count="8">
    <tableColumn id="1" xr3:uid="{D4D30D1F-B4F3-4E41-A53B-F696E0352C83}" name="Vendor"/>
    <tableColumn id="2" xr3:uid="{5CBFA292-8F87-4BC9-ABCA-0D58FCC57A5C}" name="Name (link)"/>
    <tableColumn id="6" xr3:uid="{7C7C45F2-E1E8-45E1-825A-AE75C2B832C3}" name="Description"/>
    <tableColumn id="3" xr3:uid="{20602656-1A0C-454A-8ADF-A75E80C9A941}" name="Price (Digikey With VAT)"/>
    <tableColumn id="7" xr3:uid="{FE521D46-B338-4763-996C-EBB94FC2848C}" name="Price (Local)"/>
    <tableColumn id="8" xr3:uid="{17526DBC-B644-410B-BCB2-EA2A53848258}" name="Price (LCSC)"/>
    <tableColumn id="4" xr3:uid="{22883D27-3744-4C83-9DF3-744203E14853}" name="Price(Other)"/>
    <tableColumn id="5" xr3:uid="{33FE8E6F-F845-4CB3-B271-FDDA711173B4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.uk/en/products/detail/bourns-inc/PTA6043-2010CIB502/3781226" TargetMode="External"/><Relationship Id="rId13" Type="http://schemas.openxmlformats.org/officeDocument/2006/relationships/hyperlink" Target="https://www.digikey.co.uk/en/products/detail/w%C3%BCrth-elektronik/691137710002/6644051" TargetMode="External"/><Relationship Id="rId18" Type="http://schemas.openxmlformats.org/officeDocument/2006/relationships/hyperlink" Target="https://www.digikey.co.uk/en/products/detail/seeed-technology-co-ltd/102010490/19176770" TargetMode="External"/><Relationship Id="rId26" Type="http://schemas.openxmlformats.org/officeDocument/2006/relationships/hyperlink" Target="https://www.facebook.com/marketplace/item/1101663772011711?ref=search&amp;referral_code=null&amp;referral_story_type=post&amp;tracking=browse_serp%3A0d849a5c-313d-48fe-942b-d5e69a6475c2" TargetMode="External"/><Relationship Id="rId3" Type="http://schemas.openxmlformats.org/officeDocument/2006/relationships/hyperlink" Target="https://www.digikey.co.uk/en/products/detail/mean-well-usa-inc/SMU02L-12/7706871" TargetMode="External"/><Relationship Id="rId21" Type="http://schemas.openxmlformats.org/officeDocument/2006/relationships/hyperlink" Target="https://www.digikey.co.uk/en/products/detail/advanced-thermal-solutions-inc/ATS-HP-F9L200S70W-014/5049697?s=N4IgjCBcoOw1oDGUBmBDANgZwKYBoQB7KAbRACYYwA2SkAXQIAcAXKEAZRYCcBLAOwDmIAL4EwATgDMCEMkjps%2BIqQrkALBOoNmbSJx4DhIk0A" TargetMode="External"/><Relationship Id="rId7" Type="http://schemas.openxmlformats.org/officeDocument/2006/relationships/hyperlink" Target="https://www.digikey.co.uk/en/products/detail/w%C3%BCrth-elektronik/885012210006/5453247" TargetMode="External"/><Relationship Id="rId12" Type="http://schemas.openxmlformats.org/officeDocument/2006/relationships/hyperlink" Target="https://lcsc.com/product-detail/ADCs-DACs-Special-Purpose_Analog-Devices-Inc-Maxim-Integrated-MAX31855KASA-T_C52028.html" TargetMode="External"/><Relationship Id="rId17" Type="http://schemas.openxmlformats.org/officeDocument/2006/relationships/hyperlink" Target="https://lcsc.com/product-detail/AC-Power-Connectors_Legion-RT-C14B-H1-SS11-1BB_C22379821.html?s_z=n_c14%2520input" TargetMode="External"/><Relationship Id="rId25" Type="http://schemas.openxmlformats.org/officeDocument/2006/relationships/hyperlink" Target="https://www.digikey.co.uk/en/products/detail/mean-well-usa-inc/SPU03L-12/7707058" TargetMode="External"/><Relationship Id="rId2" Type="http://schemas.openxmlformats.org/officeDocument/2006/relationships/hyperlink" Target="https://www.digikey.co.uk/en/products/detail/mean-well-usa-inc/IRM-10-5/7704657" TargetMode="External"/><Relationship Id="rId16" Type="http://schemas.openxmlformats.org/officeDocument/2006/relationships/hyperlink" Target="https://www.digikey.co.uk/en/products/detail/dit/DAC-13F/18681314" TargetMode="External"/><Relationship Id="rId20" Type="http://schemas.openxmlformats.org/officeDocument/2006/relationships/hyperlink" Target="https://www.amazon.co.uk/Creality-PETG-Filament-1-75-Printer/dp/B0DZVWW11M" TargetMode="External"/><Relationship Id="rId29" Type="http://schemas.openxmlformats.org/officeDocument/2006/relationships/hyperlink" Target="https://www.amazon.co.uk/Creality-PETG-Filament-1-75-Printer/dp/B0DZVWW11M" TargetMode="External"/><Relationship Id="rId1" Type="http://schemas.openxmlformats.org/officeDocument/2006/relationships/hyperlink" Target="https://www.digikey.co.uk/en/products/detail/mean-well-usa-inc/ELG-150-54B/7702975" TargetMode="External"/><Relationship Id="rId6" Type="http://schemas.openxmlformats.org/officeDocument/2006/relationships/hyperlink" Target="https://www.digikey.co.uk/en/products/detail/vishay-beyschlag-draloric-bc-components/K104K15X7RF5TL2/286538" TargetMode="External"/><Relationship Id="rId11" Type="http://schemas.openxmlformats.org/officeDocument/2006/relationships/hyperlink" Target="https://lcsc.com/product-detail/Power-Module-Power-Supply_MW-MEAN-WELL-Enterprises-IRM-10-5_C2857903.html?s_z=n_IRM-10-5" TargetMode="External"/><Relationship Id="rId24" Type="http://schemas.openxmlformats.org/officeDocument/2006/relationships/hyperlink" Target="https://lcsc.com/product-detail/Electronic-testing-accessories_ETA-ETA-G-K-24-200cm_C5144202.html?s_z=n_ETA-G-K-24" TargetMode="External"/><Relationship Id="rId5" Type="http://schemas.openxmlformats.org/officeDocument/2006/relationships/hyperlink" Target="https://www.digikey.co.uk/en/products/detail/schurter-inc/0031-8211/669926" TargetMode="External"/><Relationship Id="rId15" Type="http://schemas.openxmlformats.org/officeDocument/2006/relationships/hyperlink" Target="https://www.digikey.co.uk/en/products/detail/sharp-socle-technology/PC817X2NSZ9F/7942022" TargetMode="External"/><Relationship Id="rId23" Type="http://schemas.openxmlformats.org/officeDocument/2006/relationships/hyperlink" Target="https://lcsc.com/product-detail/Electronic-testing-accessories_ETA-ETA-G-K-24-200cm_C5144202.html?s_z=n_ETA-G-K-24" TargetMode="External"/><Relationship Id="rId28" Type="http://schemas.openxmlformats.org/officeDocument/2006/relationships/hyperlink" Target="https://www.amazon.co.uk/EC360%C2%AE-Glue-Thermal-Adhesive-Liquid/dp/B00XQ9AZ8Y" TargetMode="External"/><Relationship Id="rId10" Type="http://schemas.openxmlformats.org/officeDocument/2006/relationships/hyperlink" Target="https://www.digikey.co.uk/en/products/detail/analog-devices-inc-maxim-integrated/MAX31855KASA-T/2591213" TargetMode="External"/><Relationship Id="rId19" Type="http://schemas.openxmlformats.org/officeDocument/2006/relationships/hyperlink" Target="https://www.digikey.co.uk/en/products/detail/molex/0470531000/2421261?s=N4IgTCBcDaICwHYAMBWAzAWgIxNyAugDQgpSgAOUWx5lkOSAvo0A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www.digikey.co.uk/en/products/detail/lumileds/L2C5-40801825G3200/7344822" TargetMode="External"/><Relationship Id="rId9" Type="http://schemas.openxmlformats.org/officeDocument/2006/relationships/hyperlink" Target="https://www.digikey.co.uk/en/products/detail/digilent-inc/240-080/5418219" TargetMode="External"/><Relationship Id="rId14" Type="http://schemas.openxmlformats.org/officeDocument/2006/relationships/hyperlink" Target="https://www.digikey.co.uk/en/products/detail/seeed-technology-co-ltd/102010428/14672129" TargetMode="External"/><Relationship Id="rId22" Type="http://schemas.openxmlformats.org/officeDocument/2006/relationships/hyperlink" Target="https://www.digikey.co.uk/en/products/detail/mean-well-usa-inc/XLG-150-H-AB/10222586" TargetMode="External"/><Relationship Id="rId27" Type="http://schemas.openxmlformats.org/officeDocument/2006/relationships/hyperlink" Target="https://www.amazon.co.uk/SUNLU-Filament-Tangle-Free-Dimensional-Accuracy/dp/B07TJDTJZD" TargetMode="External"/><Relationship Id="rId30" Type="http://schemas.openxmlformats.org/officeDocument/2006/relationships/hyperlink" Target="https://www.amazon.co.uk/SUNLU-Filament-Tangle-Free-Dimensional-Accuracy/dp/B0D1KC72Y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N18" sqref="N18"/>
    </sheetView>
  </sheetViews>
  <sheetFormatPr defaultRowHeight="15"/>
  <cols>
    <col min="1" max="1" width="13.85546875" customWidth="1"/>
    <col min="2" max="2" width="29.140625" customWidth="1"/>
    <col min="3" max="3" width="47" customWidth="1"/>
    <col min="4" max="4" width="23.28515625" customWidth="1"/>
    <col min="5" max="5" width="17.5703125" customWidth="1"/>
    <col min="6" max="6" width="14.140625" customWidth="1"/>
    <col min="7" max="7" width="13.5703125" customWidth="1"/>
    <col min="8" max="8" width="92.140625" customWidth="1"/>
  </cols>
  <sheetData>
    <row r="1" spans="1:8" ht="15" customHeight="1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s="3" t="s">
        <v>5</v>
      </c>
      <c r="G1" s="3" t="s">
        <v>6</v>
      </c>
      <c r="H1" t="s">
        <v>7</v>
      </c>
    </row>
    <row r="2" spans="1:8" ht="12.75" customHeight="1">
      <c r="A2" s="6" t="s">
        <v>8</v>
      </c>
      <c r="B2" s="7" t="s">
        <v>9</v>
      </c>
      <c r="C2" s="11" t="s">
        <v>10</v>
      </c>
      <c r="D2" s="8" t="s">
        <v>11</v>
      </c>
      <c r="E2" s="8"/>
      <c r="F2" s="8" t="s">
        <v>12</v>
      </c>
      <c r="G2" s="8"/>
      <c r="H2" s="12" t="s">
        <v>13</v>
      </c>
    </row>
    <row r="3" spans="1:8">
      <c r="A3" t="s">
        <v>8</v>
      </c>
      <c r="B3" s="2" t="s">
        <v>14</v>
      </c>
      <c r="C3" s="4" t="s">
        <v>15</v>
      </c>
      <c r="D3" s="1">
        <v>31.04</v>
      </c>
      <c r="E3" s="1"/>
      <c r="F3" s="1" t="s">
        <v>12</v>
      </c>
      <c r="G3" s="1"/>
      <c r="H3" s="3"/>
    </row>
    <row r="4" spans="1:8">
      <c r="A4" t="s">
        <v>16</v>
      </c>
      <c r="B4" s="2" t="s">
        <v>17</v>
      </c>
      <c r="C4" s="4" t="s">
        <v>18</v>
      </c>
      <c r="D4" s="1" t="s">
        <v>19</v>
      </c>
      <c r="E4" s="1"/>
      <c r="F4" s="5" t="s">
        <v>20</v>
      </c>
      <c r="G4" s="5"/>
    </row>
    <row r="5" spans="1:8">
      <c r="A5" s="6" t="s">
        <v>8</v>
      </c>
      <c r="B5" s="7" t="s">
        <v>21</v>
      </c>
      <c r="C5" s="6" t="s">
        <v>22</v>
      </c>
      <c r="D5" s="8" t="s">
        <v>23</v>
      </c>
      <c r="E5" s="8"/>
      <c r="F5" s="8" t="s">
        <v>24</v>
      </c>
      <c r="G5" s="1"/>
    </row>
    <row r="6" spans="1:8">
      <c r="A6" s="13" t="s">
        <v>8</v>
      </c>
      <c r="B6" s="2" t="s">
        <v>25</v>
      </c>
      <c r="C6" t="s">
        <v>26</v>
      </c>
      <c r="D6" s="1">
        <v>4.51</v>
      </c>
      <c r="E6" s="1"/>
      <c r="F6" s="1"/>
      <c r="G6" s="1"/>
    </row>
    <row r="7" spans="1:8">
      <c r="A7" t="s">
        <v>8</v>
      </c>
      <c r="B7" s="2" t="s">
        <v>27</v>
      </c>
      <c r="C7" t="s">
        <v>28</v>
      </c>
      <c r="D7" s="1">
        <v>34.15</v>
      </c>
      <c r="E7" s="1"/>
      <c r="F7" s="1" t="s">
        <v>12</v>
      </c>
      <c r="G7" s="1"/>
    </row>
    <row r="8" spans="1:8">
      <c r="A8" s="6" t="s">
        <v>8</v>
      </c>
      <c r="B8" s="7" t="s">
        <v>29</v>
      </c>
      <c r="C8" s="6" t="s">
        <v>30</v>
      </c>
      <c r="D8" s="8" t="s">
        <v>31</v>
      </c>
      <c r="E8" s="8"/>
      <c r="F8" s="8" t="s">
        <v>24</v>
      </c>
      <c r="G8" s="8"/>
      <c r="H8" s="6"/>
    </row>
    <row r="9" spans="1:8">
      <c r="A9" t="s">
        <v>8</v>
      </c>
      <c r="B9" s="2" t="s">
        <v>32</v>
      </c>
      <c r="C9" t="s">
        <v>33</v>
      </c>
      <c r="D9" s="1">
        <v>0.22</v>
      </c>
      <c r="E9" s="1"/>
      <c r="F9" s="1"/>
      <c r="G9" s="1"/>
    </row>
    <row r="10" spans="1:8">
      <c r="A10" t="s">
        <v>8</v>
      </c>
      <c r="B10" s="2" t="s">
        <v>34</v>
      </c>
      <c r="C10" t="s">
        <v>35</v>
      </c>
      <c r="D10" s="1">
        <v>0.46</v>
      </c>
      <c r="E10" s="1"/>
      <c r="F10" s="1"/>
      <c r="G10" s="1"/>
    </row>
    <row r="11" spans="1:8">
      <c r="A11" t="s">
        <v>8</v>
      </c>
      <c r="B11" s="2" t="s">
        <v>36</v>
      </c>
      <c r="C11" t="s">
        <v>37</v>
      </c>
      <c r="D11" s="1">
        <v>1.7</v>
      </c>
      <c r="E11" s="1"/>
      <c r="F11" s="1" t="s">
        <v>24</v>
      </c>
      <c r="G11" s="1"/>
    </row>
    <row r="12" spans="1:8" ht="15" customHeight="1">
      <c r="A12" s="6" t="s">
        <v>8</v>
      </c>
      <c r="B12" s="7" t="s">
        <v>38</v>
      </c>
      <c r="C12" s="6" t="s">
        <v>39</v>
      </c>
      <c r="D12" s="8" t="s">
        <v>40</v>
      </c>
      <c r="E12" s="8"/>
      <c r="F12" s="8" t="s">
        <v>12</v>
      </c>
      <c r="G12" s="8"/>
      <c r="H12" s="6"/>
    </row>
    <row r="13" spans="1:8">
      <c r="A13" s="13" t="s">
        <v>16</v>
      </c>
      <c r="B13" s="2" t="s">
        <v>41</v>
      </c>
      <c r="C13" s="3" t="s">
        <v>42</v>
      </c>
      <c r="D13" s="1"/>
      <c r="E13" s="1"/>
      <c r="F13" s="5" t="s">
        <v>43</v>
      </c>
      <c r="G13" s="1"/>
    </row>
    <row r="14" spans="1:8">
      <c r="A14" t="s">
        <v>16</v>
      </c>
      <c r="B14" s="2" t="s">
        <v>44</v>
      </c>
      <c r="C14" t="s">
        <v>45</v>
      </c>
      <c r="D14" s="1" t="s">
        <v>46</v>
      </c>
      <c r="E14" s="1"/>
      <c r="F14" s="5" t="s">
        <v>47</v>
      </c>
      <c r="G14" s="5"/>
    </row>
    <row r="15" spans="1:8">
      <c r="A15" t="s">
        <v>8</v>
      </c>
      <c r="B15" s="2" t="s">
        <v>48</v>
      </c>
      <c r="C15" s="3" t="s">
        <v>49</v>
      </c>
      <c r="D15" s="1">
        <v>0.32</v>
      </c>
    </row>
    <row r="16" spans="1:8">
      <c r="A16" t="s">
        <v>8</v>
      </c>
      <c r="B16" s="2" t="s">
        <v>50</v>
      </c>
      <c r="C16" t="s">
        <v>51</v>
      </c>
      <c r="D16" s="1">
        <v>4.1500000000000004</v>
      </c>
      <c r="F16" t="s">
        <v>12</v>
      </c>
    </row>
    <row r="17" spans="1:8">
      <c r="A17" t="s">
        <v>8</v>
      </c>
      <c r="B17" s="2" t="s">
        <v>52</v>
      </c>
      <c r="C17" t="s">
        <v>53</v>
      </c>
      <c r="D17" s="1">
        <v>0.24</v>
      </c>
      <c r="F17" t="s">
        <v>54</v>
      </c>
      <c r="H17" t="s">
        <v>55</v>
      </c>
    </row>
    <row r="18" spans="1:8">
      <c r="B18" s="2"/>
      <c r="C18" t="s">
        <v>56</v>
      </c>
      <c r="D18" s="1" t="s">
        <v>57</v>
      </c>
      <c r="G18" s="1">
        <v>0.05</v>
      </c>
      <c r="H18" s="9" t="s">
        <v>58</v>
      </c>
    </row>
    <row r="19" spans="1:8">
      <c r="B19" s="2"/>
      <c r="C19" t="s">
        <v>59</v>
      </c>
      <c r="D19" s="1" t="s">
        <v>57</v>
      </c>
      <c r="G19" s="6" t="s">
        <v>60</v>
      </c>
    </row>
    <row r="20" spans="1:8">
      <c r="B20" s="2"/>
      <c r="C20" t="s">
        <v>61</v>
      </c>
      <c r="D20" t="s">
        <v>62</v>
      </c>
      <c r="G20" s="1">
        <v>0.05</v>
      </c>
      <c r="H20" s="9" t="s">
        <v>58</v>
      </c>
    </row>
    <row r="21" spans="1:8">
      <c r="B21" s="2"/>
      <c r="C21" t="s">
        <v>63</v>
      </c>
      <c r="D21" t="s">
        <v>57</v>
      </c>
      <c r="G21" s="6" t="s">
        <v>60</v>
      </c>
    </row>
    <row r="22" spans="1:8">
      <c r="C22" t="s">
        <v>64</v>
      </c>
      <c r="D22" t="s">
        <v>62</v>
      </c>
      <c r="G22" s="1">
        <v>0.1</v>
      </c>
      <c r="H22" t="s">
        <v>58</v>
      </c>
    </row>
    <row r="23" spans="1:8" ht="15.75" customHeight="1">
      <c r="C23" t="s">
        <v>65</v>
      </c>
      <c r="D23" t="s">
        <v>57</v>
      </c>
    </row>
    <row r="24" spans="1:8">
      <c r="A24" t="s">
        <v>16</v>
      </c>
      <c r="B24" s="2" t="s">
        <v>66</v>
      </c>
      <c r="C24" t="s">
        <v>67</v>
      </c>
      <c r="D24" s="1" t="s">
        <v>68</v>
      </c>
      <c r="F24" s="2" t="s">
        <v>69</v>
      </c>
      <c r="G24" s="2"/>
      <c r="H24" t="s">
        <v>70</v>
      </c>
    </row>
    <row r="25" spans="1:8" ht="16.5" customHeight="1">
      <c r="A25" t="s">
        <v>8</v>
      </c>
      <c r="B25" s="2" t="s">
        <v>71</v>
      </c>
      <c r="C25" s="3" t="s">
        <v>72</v>
      </c>
      <c r="D25" s="1">
        <v>0.22</v>
      </c>
      <c r="E25" t="s">
        <v>73</v>
      </c>
    </row>
    <row r="26" spans="1:8">
      <c r="A26" t="s">
        <v>8</v>
      </c>
      <c r="B26" s="2" t="s">
        <v>74</v>
      </c>
      <c r="C26" s="9" t="s">
        <v>75</v>
      </c>
      <c r="D26" s="1">
        <v>0.43</v>
      </c>
      <c r="F26" t="s">
        <v>12</v>
      </c>
    </row>
    <row r="27" spans="1:8" ht="15.75" customHeight="1">
      <c r="A27" t="s">
        <v>8</v>
      </c>
      <c r="B27" s="2" t="s">
        <v>76</v>
      </c>
      <c r="C27" s="3" t="s">
        <v>77</v>
      </c>
      <c r="D27" s="1">
        <v>12.9</v>
      </c>
      <c r="G27" s="10"/>
    </row>
    <row r="28" spans="1:8" ht="15" customHeight="1">
      <c r="A28" s="6" t="s">
        <v>78</v>
      </c>
      <c r="B28" s="7" t="s">
        <v>79</v>
      </c>
      <c r="C28" s="12" t="s">
        <v>80</v>
      </c>
      <c r="D28" s="6"/>
      <c r="E28" s="6"/>
      <c r="F28" s="6"/>
      <c r="G28" s="14" t="s">
        <v>81</v>
      </c>
      <c r="H28" s="6"/>
    </row>
    <row r="29" spans="1:8" ht="17.25" customHeight="1">
      <c r="A29" t="s">
        <v>82</v>
      </c>
      <c r="B29" s="2" t="s">
        <v>83</v>
      </c>
      <c r="C29" s="3" t="s">
        <v>84</v>
      </c>
      <c r="D29" s="6"/>
      <c r="E29" s="6"/>
      <c r="F29" s="6"/>
      <c r="G29" s="10">
        <v>8.75</v>
      </c>
      <c r="H29" s="16" t="s">
        <v>85</v>
      </c>
    </row>
    <row r="30" spans="1:8">
      <c r="A30" t="s">
        <v>86</v>
      </c>
      <c r="B30" s="2" t="s">
        <v>87</v>
      </c>
      <c r="C30" s="3" t="s">
        <v>88</v>
      </c>
      <c r="G30" s="10">
        <v>10</v>
      </c>
    </row>
    <row r="31" spans="1:8" ht="29.25">
      <c r="A31" t="s">
        <v>82</v>
      </c>
      <c r="B31" s="2" t="s">
        <v>89</v>
      </c>
      <c r="C31" s="3" t="s">
        <v>90</v>
      </c>
      <c r="G31" s="10">
        <v>5.99</v>
      </c>
    </row>
    <row r="32" spans="1:8">
      <c r="B32" s="2"/>
      <c r="C32" s="3" t="s">
        <v>91</v>
      </c>
      <c r="G32" s="15" t="s">
        <v>92</v>
      </c>
    </row>
    <row r="33" spans="1:8" ht="29.25">
      <c r="B33" s="2"/>
      <c r="C33" s="3" t="s">
        <v>93</v>
      </c>
      <c r="G33" s="17">
        <v>6</v>
      </c>
      <c r="H33" s="9" t="s">
        <v>58</v>
      </c>
    </row>
    <row r="34" spans="1:8">
      <c r="B34" s="2"/>
      <c r="C34" s="3" t="s">
        <v>94</v>
      </c>
      <c r="G34" s="15">
        <v>6</v>
      </c>
    </row>
    <row r="35" spans="1:8">
      <c r="B35" s="2"/>
      <c r="C35" s="3" t="s">
        <v>95</v>
      </c>
      <c r="G35" s="15" t="s">
        <v>92</v>
      </c>
    </row>
    <row r="36" spans="1:8">
      <c r="A36" t="s">
        <v>96</v>
      </c>
      <c r="B36" s="2"/>
      <c r="C36" s="3" t="s">
        <v>97</v>
      </c>
      <c r="G36" s="15">
        <v>12</v>
      </c>
    </row>
    <row r="37" spans="1:8">
      <c r="B37" s="2"/>
      <c r="C37" s="3"/>
      <c r="G37" s="10"/>
    </row>
    <row r="38" spans="1:8">
      <c r="H38" s="1"/>
    </row>
    <row r="39" spans="1:8">
      <c r="F39" s="1" t="s">
        <v>98</v>
      </c>
      <c r="G39" s="1"/>
      <c r="H39" t="s">
        <v>99</v>
      </c>
    </row>
    <row r="40" spans="1:8">
      <c r="A40" t="s">
        <v>100</v>
      </c>
      <c r="F40" t="s">
        <v>101</v>
      </c>
      <c r="H40" t="s">
        <v>102</v>
      </c>
    </row>
    <row r="41" spans="1:8">
      <c r="A41" t="s">
        <v>103</v>
      </c>
      <c r="D41" s="1">
        <f>SUM(D$2:D40)</f>
        <v>90.339999999999989</v>
      </c>
      <c r="E41" s="1"/>
      <c r="F41" s="1" t="s">
        <v>104</v>
      </c>
      <c r="G41" s="1">
        <f>SUM(G$2:G40)</f>
        <v>48.94</v>
      </c>
      <c r="H41" s="1">
        <v>156.01</v>
      </c>
    </row>
    <row r="42" spans="1:8">
      <c r="F42" t="s">
        <v>105</v>
      </c>
    </row>
    <row r="43" spans="1:8">
      <c r="A43" t="s">
        <v>106</v>
      </c>
      <c r="B43" t="s">
        <v>107</v>
      </c>
      <c r="H43" t="s">
        <v>108</v>
      </c>
    </row>
  </sheetData>
  <hyperlinks>
    <hyperlink ref="B2" r:id="rId1" xr:uid="{7E7FCE8C-49E4-47B6-9D51-769127AEA09D}"/>
    <hyperlink ref="B4" r:id="rId2" xr:uid="{FEF8D81C-B0DD-4C87-9BC0-FE281025B94B}"/>
    <hyperlink ref="B5" r:id="rId3" xr:uid="{740BFF24-50D8-41D3-A94A-CC60F71AD6CF}"/>
    <hyperlink ref="B7" r:id="rId4" xr:uid="{EF201BBB-68D9-4FE5-B401-5BDE835FBF81}"/>
    <hyperlink ref="B8" r:id="rId5" xr:uid="{04262CC3-81A2-42EB-B5A0-FC9C57D6F68F}"/>
    <hyperlink ref="B9" r:id="rId6" xr:uid="{309DAC7F-17DD-44C5-8955-6F1761A8D068}"/>
    <hyperlink ref="B10" r:id="rId7" display="885012210006" xr:uid="{167BD8D2-7B3A-4620-BCFC-72B02661CA56}"/>
    <hyperlink ref="B11" r:id="rId8" xr:uid="{FCBA3802-2BC6-47DC-A939-900097D02F5E}"/>
    <hyperlink ref="B12" r:id="rId9" xr:uid="{23DF0E82-44D0-4D27-990D-253A2DABDDD9}"/>
    <hyperlink ref="B14" r:id="rId10" xr:uid="{5E5E98FE-8EDC-46B2-8BA9-FF59B6A02346}"/>
    <hyperlink ref="F4" r:id="rId11" xr:uid="{7D9A6489-C219-4F4C-B95E-E6E016FDE9DA}"/>
    <hyperlink ref="F14" r:id="rId12" xr:uid="{B26A793B-CF4C-4490-B108-434F01BE5B56}"/>
    <hyperlink ref="B15" r:id="rId13" xr:uid="{51E7AF56-14A8-4695-9F89-F64FEA707681}"/>
    <hyperlink ref="B16" r:id="rId14" xr:uid="{549E6832-CF19-4A4B-8D66-0790253E73D8}"/>
    <hyperlink ref="B17" r:id="rId15" xr:uid="{713E48AE-59F4-4C62-A520-F8648875C3C7}"/>
    <hyperlink ref="B24" r:id="rId16" xr:uid="{D411C683-A595-4748-B076-657415B114C9}"/>
    <hyperlink ref="F24" r:id="rId17" xr:uid="{66BE8D26-4FB5-4E8E-9775-EA54119EEEE1}"/>
    <hyperlink ref="B25" r:id="rId18" xr:uid="{102186CB-1B91-4D3E-B342-67B547C8BE30}"/>
    <hyperlink ref="B26" r:id="rId19" xr:uid="{8E206E11-974B-47F5-80E0-16A218CFF7AB}"/>
    <hyperlink ref="B28" r:id="rId20" xr:uid="{D6D731A5-34E9-45C2-95A5-7E10CEA9FE80}"/>
    <hyperlink ref="B27" r:id="rId21" xr:uid="{E99DB155-2168-4F77-9C46-101F9A0E9749}"/>
    <hyperlink ref="B3" r:id="rId22" xr:uid="{9DE4291E-B58C-486E-A29D-9B51385049D0}"/>
    <hyperlink ref="B13" r:id="rId23" xr:uid="{4007C160-F5FE-4E3B-9C2A-018BB83A70FE}"/>
    <hyperlink ref="F13" r:id="rId24" xr:uid="{4BD03864-4D7E-4CB9-B2D3-AD2654C00E4E}"/>
    <hyperlink ref="B6" r:id="rId25" xr:uid="{309444FE-2B29-402F-9029-A61C0B785CDF}"/>
    <hyperlink ref="B30" r:id="rId26" xr:uid="{008E29FC-C9B5-4B27-A2E4-6C917DB28E03}"/>
    <hyperlink ref="B29" r:id="rId27" xr:uid="{241581B1-CBEB-44DB-A923-DEE06A6F0555}"/>
    <hyperlink ref="B31" r:id="rId28" xr:uid="{262A1677-4B40-4929-B482-98B28E2F6F12}"/>
    <hyperlink ref="G28" r:id="rId29" display="£12.99" xr:uid="{139B6C2E-FC06-4ED9-847C-D0044BB922A6}"/>
    <hyperlink ref="G29" r:id="rId30" display="£8.75" xr:uid="{AE7A478D-BC6A-40F5-8FCB-7998FD10AABA}"/>
  </hyperlinks>
  <pageMargins left="0.7" right="0.7" top="0.75" bottom="0.75" header="0.3" footer="0.3"/>
  <tableParts count="1"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2025-06-09T14:06:59Z</dcterms:created>
  <dcterms:modified xsi:type="dcterms:W3CDTF">2025-07-25T21:03:57Z</dcterms:modified>
  <cp:category/>
  <cp:contentStatus/>
</cp:coreProperties>
</file>